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Plans" sheetId="3" state="visible" r:id="rId5"/>
    <sheet name="Scenari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<sst xmlns="http://schemas.openxmlformats.org/spreadsheetml/2006/main" count="260" uniqueCount="201">
  <si>
    <t xml:space="preserve">Investment Research Library: cost-benefit analysis</t>
  </si>
  <si>
    <t xml:space="preserve">Checks that each plan covers its own AI costs and that subscriptions cover every monthly expense, GST and income tax. All money in NZD unless marked US$.</t>
  </si>
  <si>
    <t xml:space="preserve">How to use it</t>
  </si>
  <si>
    <t xml:space="preserve">1. Inputs: check every blue number. Yellow cells are the assumptions that matter most; replace them with your real figures as soon as you have them.</t>
  </si>
  <si>
    <t xml:space="preserve">2. Plans: the profit on one subscriber for each plan, at typical use and if they use every question.</t>
  </si>
  <si>
    <t xml:space="preserve">3. Scenarios: change the number of subscribers to see monthly profit, GST to pay, income tax, and how many subscribers you need to break even.</t>
  </si>
  <si>
    <t xml:space="preserve">4. After launch, replace the estimated cost per question with your real one: OpenAI dashboard cost for the month divided by questions answered.</t>
  </si>
  <si>
    <t xml:space="preserve">Colour legend</t>
  </si>
  <si>
    <t xml:space="preserve">Blue text = an input you can change.  Black = a formula.  Green = taken from another sheet.  Yellow fill = key assumption to replace with your own figure.</t>
  </si>
  <si>
    <t xml:space="preserve">Sources (prices checked 30 September 2026; they change, so re-check before relying on them)</t>
  </si>
  <si>
    <t xml:space="preserve">Stripe NZ card fees: 2.65% + NZ$0.30 domestic, 3.5% + NZ$0.30 international (+2% if currency conversion), excluding GST. xero.com/nz/pricing-plans/pricing-and-fees-for-stripe/ ; wise.com/nz/blog/stripe-fees-nz</t>
  </si>
  <si>
    <t xml:space="preserve">Stripe Billing (subscriptions) fee: entered as 0.7% of billing volume. Check your Stripe dashboard (Settings &gt; Billing) and change if different.</t>
  </si>
  <si>
    <t xml:space="preserve">OpenAI gpt-4o-mini: US$0.15 per 1M input tokens, US$0.60 per 1M output tokens. developers.openai.com/api/docs/models/gpt-4o-mini . text-embedding-3-small: US$0.02 per 1M tokens.</t>
  </si>
  <si>
    <t xml:space="preserve">Vercel Pro: US$20 per seat per month with US$20 usage credit; the free Hobby plan does not allow commercial use. vercel.com/pricing ; makerkit.dev/blog/tutorials/vercel-cost</t>
  </si>
  <si>
    <t xml:space="preserve">Clerk: free up to 50,000 monthly retained users; Pro US$25/month for MFA and removing Clerk branding. clerk.com/articles/clerk-pricing-explained</t>
  </si>
  <si>
    <t xml:space="preserve">Upstash Redis: free 500K commands/month, then US$0.20 per 100K. Upstash Vector: US$0.40 per 100K requests. upstash.com/pricing/redis ; usagepricing.com/blueprint/upstash</t>
  </si>
  <si>
    <t xml:space="preserve">GST 15% (NZ). Registration is compulsory once turnover passes NZ$60,000 in 12 months. NZ company income tax 28%; sole traders pay personal rates instead.</t>
  </si>
  <si>
    <t xml:space="preserve">Important</t>
  </si>
  <si>
    <t xml:space="preserve">Selling subscriptions to people in Australia, the UK and other countries can create GST or VAT obligations in those countries, sometimes from the first sale. Check with an accountant before selling overseas.</t>
  </si>
  <si>
    <t xml:space="preserve">Your own time is not counted unless you enter a salary under Fixed costs. This workbook is a planning tool, not tax or accounting advice.</t>
  </si>
  <si>
    <t xml:space="preserve">Inputs</t>
  </si>
  <si>
    <t xml:space="preserve">Blue = change me. Yellow = key assumption to replace with your own figure.</t>
  </si>
  <si>
    <t xml:space="preserve">Currency and tax</t>
  </si>
  <si>
    <t xml:space="preserve">Item</t>
  </si>
  <si>
    <t xml:space="preserve">Value</t>
  </si>
  <si>
    <t xml:space="preserve">Unit</t>
  </si>
  <si>
    <t xml:space="preserve">Source or note</t>
  </si>
  <si>
    <t xml:space="preserve">NZ dollars per US dollar</t>
  </si>
  <si>
    <t xml:space="preserve">NZD per USD</t>
  </si>
  <si>
    <t xml:space="preserve">Check today's rate. Most service bills below are in US dollars.</t>
  </si>
  <si>
    <t xml:space="preserve">GST rate</t>
  </si>
  <si>
    <t xml:space="preserve">%</t>
  </si>
  <si>
    <t xml:space="preserve">New Zealand GST.</t>
  </si>
  <si>
    <t xml:space="preserve">GST registered? (1 = yes, 0 = no)</t>
  </si>
  <si>
    <t xml:space="preserve">switch</t>
  </si>
  <si>
    <t xml:space="preserve">Plan prices include GST. If not registered (turnover under NZ$60,000), set to 0 and you keep the full price.</t>
  </si>
  <si>
    <t xml:space="preserve">Income tax rate on profit</t>
  </si>
  <si>
    <t xml:space="preserve">NZ company rate. Sole traders: use your marginal personal rate.</t>
  </si>
  <si>
    <t xml:space="preserve">Payments (Stripe)</t>
  </si>
  <si>
    <t xml:space="preserve">Card fee, domestic</t>
  </si>
  <si>
    <t xml:space="preserve">% of charge</t>
  </si>
  <si>
    <t xml:space="preserve">Stripe NZ, excluding GST.</t>
  </si>
  <si>
    <t xml:space="preserve">Card fee, international</t>
  </si>
  <si>
    <t xml:space="preserve">Plus currency conversion below if charged in a different currency.</t>
  </si>
  <si>
    <t xml:space="preserve">Currency conversion fee (international)</t>
  </si>
  <si>
    <t xml:space="preserve">Applies when the card is in another currency.</t>
  </si>
  <si>
    <t xml:space="preserve">Share of subscribers paying with overseas cards</t>
  </si>
  <si>
    <t xml:space="preserve">Your estimate. Migrants and overseas users raise this.</t>
  </si>
  <si>
    <t xml:space="preserve">Fixed fee per charge</t>
  </si>
  <si>
    <t xml:space="preserve">NZD</t>
  </si>
  <si>
    <t xml:space="preserve">Per monthly payment.</t>
  </si>
  <si>
    <t xml:space="preserve">Stripe Billing fee</t>
  </si>
  <si>
    <t xml:space="preserve">Subscription billing fee. Check your Stripe account.</t>
  </si>
  <si>
    <t xml:space="preserve">GST charged on Stripe fees</t>
  </si>
  <si>
    <t xml:space="preserve">Stripe fees are quoted excluding GST; you can claim it back if GST registered.</t>
  </si>
  <si>
    <t xml:space="preserve">AI cost per question (OpenAI)</t>
  </si>
  <si>
    <t xml:space="preserve">Input tokens per question</t>
  </si>
  <si>
    <t xml:space="preserve">tokens</t>
  </si>
  <si>
    <t xml:space="preserve">Estimate: system prompt, library passages and tool results over several model calls. Replace with measured figure.</t>
  </si>
  <si>
    <t xml:space="preserve">Output tokens per question</t>
  </si>
  <si>
    <t xml:space="preserve">Estimate: the answer plus tool calls.</t>
  </si>
  <si>
    <t xml:space="preserve">Price per 1M input tokens</t>
  </si>
  <si>
    <t xml:space="preserve">US$</t>
  </si>
  <si>
    <t xml:space="preserve">gpt-4o-mini.</t>
  </si>
  <si>
    <t xml:space="preserve">Price per 1M output tokens</t>
  </si>
  <si>
    <t xml:space="preserve">Embedding tokens per question</t>
  </si>
  <si>
    <t xml:space="preserve">The question is embedded once for library search.</t>
  </si>
  <si>
    <t xml:space="preserve">Price per 1M embedding tokens</t>
  </si>
  <si>
    <t xml:space="preserve">text-embedding-3-small.</t>
  </si>
  <si>
    <t xml:space="preserve">Buffer for retries and checked answers</t>
  </si>
  <si>
    <t xml:space="preserve">Extra calls when an answer is checked before showing, and failed attempts.</t>
  </si>
  <si>
    <t xml:space="preserve">Comparison: larger model, input per 1M</t>
  </si>
  <si>
    <t xml:space="preserve">gpt-4o, to see what switching models would do.</t>
  </si>
  <si>
    <t xml:space="preserve">Comparison: larger model, output per 1M</t>
  </si>
  <si>
    <t xml:space="preserve">gpt-4o.</t>
  </si>
  <si>
    <t xml:space="preserve">Database costs per question (Upstash)</t>
  </si>
  <si>
    <t xml:space="preserve">Redis commands per question</t>
  </si>
  <si>
    <t xml:space="preserve">commands</t>
  </si>
  <si>
    <t xml:space="preserve">Usage limits and checks.</t>
  </si>
  <si>
    <t xml:space="preserve">Redis price per 100K commands</t>
  </si>
  <si>
    <t xml:space="preserve">Pay as you go. Free tier (500K a month) ignored to stay on the safe side.</t>
  </si>
  <si>
    <t xml:space="preserve">Vector searches per question</t>
  </si>
  <si>
    <t xml:space="preserve">requests</t>
  </si>
  <si>
    <t xml:space="preserve">Library searches.</t>
  </si>
  <si>
    <t xml:space="preserve">Vector price per 100K requests</t>
  </si>
  <si>
    <t xml:space="preserve">Pay as you go.</t>
  </si>
  <si>
    <t xml:space="preserve">Fixed monthly costs</t>
  </si>
  <si>
    <t xml:space="preserve">Vercel Pro (hosting)</t>
  </si>
  <si>
    <t xml:space="preserve">US$ / month</t>
  </si>
  <si>
    <t xml:space="preserve">Required for a paid product. 1 seat, includes US$20 usage credit.</t>
  </si>
  <si>
    <t xml:space="preserve">Clerk (sign-in)</t>
  </si>
  <si>
    <t xml:space="preserve">Free to 50,000 users. Set 25 for Pro (MFA, no Clerk branding).</t>
  </si>
  <si>
    <t xml:space="preserve">Upstash fixed plan (optional)</t>
  </si>
  <si>
    <t xml:space="preserve">Leave 0 on pay as you go.</t>
  </si>
  <si>
    <t xml:space="preserve">Domain name</t>
  </si>
  <si>
    <t xml:space="preserve">NZD / month</t>
  </si>
  <si>
    <t xml:space="preserve">About NZ$35 a year. Your estimate.</t>
  </si>
  <si>
    <t xml:space="preserve">Email and office software</t>
  </si>
  <si>
    <t xml:space="preserve">Your estimate.</t>
  </si>
  <si>
    <t xml:space="preserve">Accounting software</t>
  </si>
  <si>
    <t xml:space="preserve">Your estimate (for GST and income tax returns).</t>
  </si>
  <si>
    <t xml:space="preserve">Professional indemnity insurance</t>
  </si>
  <si>
    <t xml:space="preserve">Your estimate. Get a quote.</t>
  </si>
  <si>
    <t xml:space="preserve">Legal and compliance review, one-off</t>
  </si>
  <si>
    <t xml:space="preserve">Your estimate for disclaimer and terms review (see COMPLIANCE.md).</t>
  </si>
  <si>
    <t xml:space="preserve">Spread the one-off cost over</t>
  </si>
  <si>
    <t xml:space="preserve">months</t>
  </si>
  <si>
    <t xml:space="preserve">Marketing</t>
  </si>
  <si>
    <t xml:space="preserve">Your own pay (optional)</t>
  </si>
  <si>
    <t xml:space="preserve">Enter what you want to earn to see what that needs.</t>
  </si>
  <si>
    <t xml:space="preserve">Other</t>
  </si>
  <si>
    <t xml:space="preserve">Free users and visitors</t>
  </si>
  <si>
    <t xml:space="preserve">Share of free allowance used, on average</t>
  </si>
  <si>
    <t xml:space="preserve">Free: 5 questions a month. Visitors: 2 a month.</t>
  </si>
  <si>
    <t xml:space="preserve">Free accounts per paying subscriber</t>
  </si>
  <si>
    <t xml:space="preserve">accounts</t>
  </si>
  <si>
    <t xml:space="preserve">Your estimate. Often 10 to 30 free users per paying one.</t>
  </si>
  <si>
    <t xml:space="preserve">Visitors who ask without signing in, per paying subscriber</t>
  </si>
  <si>
    <t xml:space="preserve">visitors</t>
  </si>
  <si>
    <t xml:space="preserve">Worked out from the inputs above</t>
  </si>
  <si>
    <t xml:space="preserve">How</t>
  </si>
  <si>
    <t xml:space="preserve">AI cost per question</t>
  </si>
  <si>
    <t xml:space="preserve">Tokens times prices, plus buffer.</t>
  </si>
  <si>
    <t xml:space="preserve">Database cost per question</t>
  </si>
  <si>
    <t xml:space="preserve">Upstash Redis and Vector.</t>
  </si>
  <si>
    <t xml:space="preserve">Total cost per question</t>
  </si>
  <si>
    <t xml:space="preserve">Converted to NZ dollars.</t>
  </si>
  <si>
    <t xml:space="preserve">Cost per question with the larger model</t>
  </si>
  <si>
    <t xml:space="preserve">Same usage on gpt-4o.</t>
  </si>
  <si>
    <t xml:space="preserve">Blended Stripe percentage</t>
  </si>
  <si>
    <t xml:space="preserve">Mix of domestic and overseas cards, plus Billing.</t>
  </si>
  <si>
    <t xml:space="preserve">Fixed costs per month</t>
  </si>
  <si>
    <t xml:space="preserve">All fixed costs, including the one-off legal cost spread over months.</t>
  </si>
  <si>
    <t xml:space="preserve">Profit on one subscriber, per month</t>
  </si>
  <si>
    <t xml:space="preserve">Typical use = the share of the allowance people usually use. Worst case = every question used.</t>
  </si>
  <si>
    <t xml:space="preserve">Free</t>
  </si>
  <si>
    <t xml:space="preserve">Basic</t>
  </si>
  <si>
    <t xml:space="preserve">Premium</t>
  </si>
  <si>
    <t xml:space="preserve">Adviser</t>
  </si>
  <si>
    <t xml:space="preserve">Note</t>
  </si>
  <si>
    <t xml:space="preserve">Price including GST</t>
  </si>
  <si>
    <t xml:space="preserve">From lib/plans.ts. Change here and in the app together.</t>
  </si>
  <si>
    <t xml:space="preserve">Questions a month</t>
  </si>
  <si>
    <t xml:space="preserve">Monthly allowance.</t>
  </si>
  <si>
    <t xml:space="preserve">Typical share of allowance used</t>
  </si>
  <si>
    <t xml:space="preserve">Your estimate. Free uses the Inputs figure.</t>
  </si>
  <si>
    <t xml:space="preserve">GST included in the price</t>
  </si>
  <si>
    <t xml:space="preserve">Paid to IRD if GST registered.</t>
  </si>
  <si>
    <t xml:space="preserve">Price after GST</t>
  </si>
  <si>
    <t xml:space="preserve">Stripe fees (plus GST on fees if not registered)</t>
  </si>
  <si>
    <t xml:space="preserve">GST on fees is claimed back when registered.</t>
  </si>
  <si>
    <t xml:space="preserve">Questions used, typical</t>
  </si>
  <si>
    <t xml:space="preserve">Question costs, typical</t>
  </si>
  <si>
    <t xml:space="preserve">AI and database costs.</t>
  </si>
  <si>
    <t xml:space="preserve">Profit per subscriber, typical</t>
  </si>
  <si>
    <t xml:space="preserve">Before fixed costs and income tax.</t>
  </si>
  <si>
    <t xml:space="preserve">Margin, typical</t>
  </si>
  <si>
    <t xml:space="preserve">Question costs, worst case</t>
  </si>
  <si>
    <t xml:space="preserve">Every question in the allowance used.</t>
  </si>
  <si>
    <t xml:space="preserve">Profit per subscriber, worst case</t>
  </si>
  <si>
    <t xml:space="preserve">Question costs, worst case, larger model</t>
  </si>
  <si>
    <t xml:space="preserve">If you switch to gpt-4o.</t>
  </si>
  <si>
    <t xml:space="preserve">Profit per subscriber, worst case, larger model</t>
  </si>
  <si>
    <t xml:space="preserve">Negative means that plan would lose money on heavy users.</t>
  </si>
  <si>
    <t xml:space="preserve">Still profitable at worst case?</t>
  </si>
  <si>
    <t xml:space="preserve">Monthly profit and loss</t>
  </si>
  <si>
    <t xml:space="preserve">Enter subscriber numbers in blue. Free accounts and visitors follow the ratios on the Inputs sheet.</t>
  </si>
  <si>
    <t xml:space="preserve">Launch</t>
  </si>
  <si>
    <t xml:space="preserve">Growing</t>
  </si>
  <si>
    <t xml:space="preserve">Established</t>
  </si>
  <si>
    <t xml:space="preserve">Basic subscribers</t>
  </si>
  <si>
    <t xml:space="preserve">Premium subscribers</t>
  </si>
  <si>
    <t xml:space="preserve">Adviser subscribers</t>
  </si>
  <si>
    <t xml:space="preserve">Paying subscribers</t>
  </si>
  <si>
    <t xml:space="preserve">Free accounts</t>
  </si>
  <si>
    <t xml:space="preserve">From Inputs ratio.</t>
  </si>
  <si>
    <t xml:space="preserve">Visitors asking without an account</t>
  </si>
  <si>
    <t xml:space="preserve">Revenue including GST</t>
  </si>
  <si>
    <t xml:space="preserve">GST to pay IRD</t>
  </si>
  <si>
    <t xml:space="preserve">Set aside; not your money.</t>
  </si>
  <si>
    <t xml:space="preserve">Revenue after GST</t>
  </si>
  <si>
    <t xml:space="preserve">Stripe fees</t>
  </si>
  <si>
    <t xml:space="preserve">Question costs, paying subscribers</t>
  </si>
  <si>
    <t xml:space="preserve">Typical use.</t>
  </si>
  <si>
    <t xml:space="preserve">Question costs, free accounts and visitors</t>
  </si>
  <si>
    <t xml:space="preserve">Visitors: 2 questions a month.</t>
  </si>
  <si>
    <t xml:space="preserve">Fixed costs</t>
  </si>
  <si>
    <t xml:space="preserve">Hosting, software, insurance, legal, marketing, your pay.</t>
  </si>
  <si>
    <t xml:space="preserve">Total costs</t>
  </si>
  <si>
    <t xml:space="preserve">Profit before tax</t>
  </si>
  <si>
    <t xml:space="preserve">Income tax</t>
  </si>
  <si>
    <t xml:space="preserve">Simplified: monthly share of the yearly tax bill.</t>
  </si>
  <si>
    <t xml:space="preserve">Profit after tax</t>
  </si>
  <si>
    <t xml:space="preserve">Profit after tax, per year</t>
  </si>
  <si>
    <t xml:space="preserve">All costs and taxes covered?</t>
  </si>
  <si>
    <t xml:space="preserve">Break-even</t>
  </si>
  <si>
    <t xml:space="preserve">Average profit per paying subscriber (typical use)</t>
  </si>
  <si>
    <t xml:space="preserve">Uses this column's plan mix.</t>
  </si>
  <si>
    <t xml:space="preserve">Cost of free users per paying subscriber</t>
  </si>
  <si>
    <t xml:space="preserve">Paying subscribers needed to cover fixed costs</t>
  </si>
  <si>
    <t xml:space="preserve">At this column's plan mix.</t>
  </si>
</sst>
</file>

<file path=xl/styles.xml><?xml version="1.0" encoding="utf-8"?>
<styleSheet xmlns="http://schemas.openxmlformats.org/spreadsheetml/2006/main">
  <numFmts count="13">
    <numFmt numFmtId="164" formatCode="General"/>
    <numFmt numFmtId="165" formatCode="0.00"/>
    <numFmt numFmtId="166" formatCode="0.0%;\(0.0%\);\-"/>
    <numFmt numFmtId="167" formatCode="0"/>
    <numFmt numFmtId="168" formatCode="0.00%"/>
    <numFmt numFmtId="169" formatCode="&quot;NZ$&quot;#,##0.00;&quot;(NZ$&quot;#,##0.00\);\-"/>
    <numFmt numFmtId="170" formatCode="#,##0;\(#,##0\);\-"/>
    <numFmt numFmtId="171" formatCode="&quot;US$&quot;#,##0.00;&quot;(US$&quot;#,##0.00\);\-"/>
    <numFmt numFmtId="172" formatCode="0.0"/>
    <numFmt numFmtId="173" formatCode="&quot;NZ$&quot;#,##0;&quot;(NZ$&quot;#,##0\);\-"/>
    <numFmt numFmtId="174" formatCode="&quot;US$&quot;#,##0.0000;&quot;(US$&quot;#,##0.0000\);\-"/>
    <numFmt numFmtId="175" formatCode="&quot;NZ$&quot;0.0000"/>
    <numFmt numFmtId="17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i val="true"/>
      <sz val="9"/>
      <color rgb="FF555555"/>
      <name val="Arial"/>
      <family val="0"/>
      <charset val="1"/>
    </font>
    <font>
      <b val="true"/>
      <sz val="10"/>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DDE4D6"/>
        <bgColor rgb="FFEEF1E8"/>
      </patternFill>
    </fill>
    <fill>
      <patternFill patternType="solid">
        <fgColor rgb="FFFFFF00"/>
        <bgColor rgb="FFFFFF00"/>
      </patternFill>
    </fill>
    <fill>
      <patternFill patternType="solid">
        <fgColor rgb="FFEEF1E8"/>
        <bgColor rgb="FFDD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73" fontId="9" fillId="3"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5"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3"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font>
    </dxf>
  </dxfs>
  <colors>
    <indexedColors>
      <rgbColor rgb="FF000000"/>
      <rgbColor rgb="FFEEF1E8"/>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4D6"/>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15" hidden="false" customHeight="false" outlineLevel="0" collapsed="false">
      <c r="A6" s="2" t="s">
        <v>4</v>
      </c>
    </row>
    <row r="7" customFormat="false" ht="23.8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23.8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23.85" hidden="false" customHeight="false" outlineLevel="0" collapsed="false">
      <c r="A14" s="2" t="s">
        <v>10</v>
      </c>
    </row>
    <row r="15" customFormat="false" ht="23.85" hidden="false" customHeight="false" outlineLevel="0" collapsed="false">
      <c r="A15" s="2" t="s">
        <v>11</v>
      </c>
    </row>
    <row r="16" customFormat="false" ht="23.85" hidden="false" customHeight="false" outlineLevel="0" collapsed="false">
      <c r="A16" s="2" t="s">
        <v>12</v>
      </c>
    </row>
    <row r="17" customFormat="false" ht="23.85" hidden="false" customHeight="false" outlineLevel="0" collapsed="false">
      <c r="A17" s="2" t="s">
        <v>13</v>
      </c>
    </row>
    <row r="18" customFormat="false" ht="23.85" hidden="false" customHeight="false" outlineLevel="0" collapsed="false">
      <c r="A18" s="2" t="s">
        <v>14</v>
      </c>
    </row>
    <row r="19" customFormat="false" ht="23.85" hidden="false" customHeight="false" outlineLevel="0" collapsed="false">
      <c r="A19" s="2" t="s">
        <v>15</v>
      </c>
    </row>
    <row r="20" customFormat="false" ht="23.8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3" t="s">
        <v>17</v>
      </c>
    </row>
    <row r="23" customFormat="false" ht="23.85" hidden="false" customHeight="false" outlineLevel="0" collapsed="false">
      <c r="A23" s="2" t="s">
        <v>18</v>
      </c>
    </row>
    <row r="24" customFormat="false" ht="15" hidden="false" customHeight="false" outlineLevel="0" collapsed="false">
      <c r="A24"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6"/>
    <col collapsed="false" customWidth="true" hidden="false" outlineLevel="0" max="4" min="4" style="0" width="80"/>
  </cols>
  <sheetData>
    <row r="1" customFormat="false" ht="17.35" hidden="false" customHeight="false" outlineLevel="0" collapsed="false">
      <c r="A1" s="4" t="s">
        <v>20</v>
      </c>
    </row>
    <row r="2" customFormat="false" ht="15" hidden="false" customHeight="false" outlineLevel="0" collapsed="false">
      <c r="A2" s="5" t="s">
        <v>21</v>
      </c>
    </row>
    <row r="4" customFormat="false" ht="15" hidden="false" customHeight="false" outlineLevel="0" collapsed="false">
      <c r="A4" s="6" t="s">
        <v>22</v>
      </c>
    </row>
    <row r="5" customFormat="false" ht="15" hidden="false" customHeight="false" outlineLevel="0" collapsed="false">
      <c r="A5" s="7" t="s">
        <v>23</v>
      </c>
      <c r="B5" s="7" t="s">
        <v>24</v>
      </c>
      <c r="C5" s="7" t="s">
        <v>25</v>
      </c>
      <c r="D5" s="7" t="s">
        <v>26</v>
      </c>
    </row>
    <row r="6" customFormat="false" ht="15" hidden="false" customHeight="false" outlineLevel="0" collapsed="false">
      <c r="A6" s="8" t="s">
        <v>27</v>
      </c>
      <c r="B6" s="9" t="n">
        <v>1.72</v>
      </c>
      <c r="C6" s="8" t="s">
        <v>28</v>
      </c>
      <c r="D6" s="10" t="s">
        <v>29</v>
      </c>
    </row>
    <row r="7" customFormat="false" ht="15" hidden="false" customHeight="false" outlineLevel="0" collapsed="false">
      <c r="A7" s="8" t="s">
        <v>30</v>
      </c>
      <c r="B7" s="11" t="n">
        <v>0.15</v>
      </c>
      <c r="C7" s="8" t="s">
        <v>31</v>
      </c>
      <c r="D7" s="10" t="s">
        <v>32</v>
      </c>
    </row>
    <row r="8" customFormat="false" ht="15" hidden="false" customHeight="false" outlineLevel="0" collapsed="false">
      <c r="A8" s="8" t="s">
        <v>33</v>
      </c>
      <c r="B8" s="12" t="n">
        <v>1</v>
      </c>
      <c r="C8" s="8" t="s">
        <v>34</v>
      </c>
      <c r="D8" s="10" t="s">
        <v>35</v>
      </c>
    </row>
    <row r="9" customFormat="false" ht="15" hidden="false" customHeight="false" outlineLevel="0" collapsed="false">
      <c r="A9" s="8" t="s">
        <v>36</v>
      </c>
      <c r="B9" s="11" t="n">
        <v>0.28</v>
      </c>
      <c r="C9" s="8" t="s">
        <v>31</v>
      </c>
      <c r="D9" s="10" t="s">
        <v>37</v>
      </c>
    </row>
    <row r="11" customFormat="false" ht="15" hidden="false" customHeight="false" outlineLevel="0" collapsed="false">
      <c r="A11" s="6" t="s">
        <v>38</v>
      </c>
    </row>
    <row r="12" customFormat="false" ht="15" hidden="false" customHeight="false" outlineLevel="0" collapsed="false">
      <c r="A12" s="7" t="s">
        <v>23</v>
      </c>
      <c r="B12" s="7" t="s">
        <v>24</v>
      </c>
      <c r="C12" s="7" t="s">
        <v>25</v>
      </c>
      <c r="D12" s="7" t="s">
        <v>26</v>
      </c>
    </row>
    <row r="13" customFormat="false" ht="15" hidden="false" customHeight="false" outlineLevel="0" collapsed="false">
      <c r="A13" s="8" t="s">
        <v>39</v>
      </c>
      <c r="B13" s="13" t="n">
        <v>0.0265</v>
      </c>
      <c r="C13" s="8" t="s">
        <v>40</v>
      </c>
      <c r="D13" s="10" t="s">
        <v>41</v>
      </c>
    </row>
    <row r="14" customFormat="false" ht="15" hidden="false" customHeight="false" outlineLevel="0" collapsed="false">
      <c r="A14" s="8" t="s">
        <v>42</v>
      </c>
      <c r="B14" s="13" t="n">
        <v>0.035</v>
      </c>
      <c r="C14" s="8" t="s">
        <v>40</v>
      </c>
      <c r="D14" s="10" t="s">
        <v>43</v>
      </c>
    </row>
    <row r="15" customFormat="false" ht="15" hidden="false" customHeight="false" outlineLevel="0" collapsed="false">
      <c r="A15" s="8" t="s">
        <v>44</v>
      </c>
      <c r="B15" s="13" t="n">
        <v>0.02</v>
      </c>
      <c r="C15" s="8" t="s">
        <v>40</v>
      </c>
      <c r="D15" s="10" t="s">
        <v>45</v>
      </c>
    </row>
    <row r="16" customFormat="false" ht="15" hidden="false" customHeight="false" outlineLevel="0" collapsed="false">
      <c r="A16" s="8" t="s">
        <v>46</v>
      </c>
      <c r="B16" s="14" t="n">
        <v>0.2</v>
      </c>
      <c r="C16" s="8" t="s">
        <v>31</v>
      </c>
      <c r="D16" s="10" t="s">
        <v>47</v>
      </c>
    </row>
    <row r="17" customFormat="false" ht="15" hidden="false" customHeight="false" outlineLevel="0" collapsed="false">
      <c r="A17" s="8" t="s">
        <v>48</v>
      </c>
      <c r="B17" s="15" t="n">
        <v>0.3</v>
      </c>
      <c r="C17" s="8" t="s">
        <v>49</v>
      </c>
      <c r="D17" s="10" t="s">
        <v>50</v>
      </c>
    </row>
    <row r="18" customFormat="false" ht="15" hidden="false" customHeight="false" outlineLevel="0" collapsed="false">
      <c r="A18" s="8" t="s">
        <v>51</v>
      </c>
      <c r="B18" s="13" t="n">
        <v>0.007</v>
      </c>
      <c r="C18" s="8" t="s">
        <v>40</v>
      </c>
      <c r="D18" s="10" t="s">
        <v>52</v>
      </c>
    </row>
    <row r="19" customFormat="false" ht="15" hidden="false" customHeight="false" outlineLevel="0" collapsed="false">
      <c r="A19" s="8" t="s">
        <v>53</v>
      </c>
      <c r="B19" s="11" t="n">
        <v>0.15</v>
      </c>
      <c r="C19" s="8" t="s">
        <v>31</v>
      </c>
      <c r="D19" s="10" t="s">
        <v>54</v>
      </c>
    </row>
    <row r="21" customFormat="false" ht="15" hidden="false" customHeight="false" outlineLevel="0" collapsed="false">
      <c r="A21" s="6" t="s">
        <v>55</v>
      </c>
    </row>
    <row r="22" customFormat="false" ht="15" hidden="false" customHeight="false" outlineLevel="0" collapsed="false">
      <c r="A22" s="7" t="s">
        <v>23</v>
      </c>
      <c r="B22" s="7" t="s">
        <v>24</v>
      </c>
      <c r="C22" s="7" t="s">
        <v>25</v>
      </c>
      <c r="D22" s="7" t="s">
        <v>26</v>
      </c>
    </row>
    <row r="23" customFormat="false" ht="22.35" hidden="false" customHeight="false" outlineLevel="0" collapsed="false">
      <c r="A23" s="8" t="s">
        <v>56</v>
      </c>
      <c r="B23" s="16" t="n">
        <v>15000</v>
      </c>
      <c r="C23" s="8" t="s">
        <v>57</v>
      </c>
      <c r="D23" s="10" t="s">
        <v>58</v>
      </c>
    </row>
    <row r="24" customFormat="false" ht="15" hidden="false" customHeight="false" outlineLevel="0" collapsed="false">
      <c r="A24" s="8" t="s">
        <v>59</v>
      </c>
      <c r="B24" s="16" t="n">
        <v>900</v>
      </c>
      <c r="C24" s="8" t="s">
        <v>57</v>
      </c>
      <c r="D24" s="10" t="s">
        <v>60</v>
      </c>
    </row>
    <row r="25" customFormat="false" ht="15" hidden="false" customHeight="false" outlineLevel="0" collapsed="false">
      <c r="A25" s="8" t="s">
        <v>61</v>
      </c>
      <c r="B25" s="17" t="n">
        <v>0.15</v>
      </c>
      <c r="C25" s="8" t="s">
        <v>62</v>
      </c>
      <c r="D25" s="10" t="s">
        <v>63</v>
      </c>
    </row>
    <row r="26" customFormat="false" ht="15" hidden="false" customHeight="false" outlineLevel="0" collapsed="false">
      <c r="A26" s="8" t="s">
        <v>64</v>
      </c>
      <c r="B26" s="17" t="n">
        <v>0.6</v>
      </c>
      <c r="C26" s="8" t="s">
        <v>62</v>
      </c>
      <c r="D26" s="10" t="s">
        <v>63</v>
      </c>
    </row>
    <row r="27" customFormat="false" ht="15" hidden="false" customHeight="false" outlineLevel="0" collapsed="false">
      <c r="A27" s="8" t="s">
        <v>65</v>
      </c>
      <c r="B27" s="18" t="n">
        <v>60</v>
      </c>
      <c r="C27" s="8" t="s">
        <v>57</v>
      </c>
      <c r="D27" s="10" t="s">
        <v>66</v>
      </c>
    </row>
    <row r="28" customFormat="false" ht="15" hidden="false" customHeight="false" outlineLevel="0" collapsed="false">
      <c r="A28" s="8" t="s">
        <v>67</v>
      </c>
      <c r="B28" s="17" t="n">
        <v>0.02</v>
      </c>
      <c r="C28" s="8" t="s">
        <v>62</v>
      </c>
      <c r="D28" s="10" t="s">
        <v>68</v>
      </c>
    </row>
    <row r="29" customFormat="false" ht="15" hidden="false" customHeight="false" outlineLevel="0" collapsed="false">
      <c r="A29" s="8" t="s">
        <v>69</v>
      </c>
      <c r="B29" s="11" t="n">
        <v>0.25</v>
      </c>
      <c r="C29" s="8" t="s">
        <v>31</v>
      </c>
      <c r="D29" s="10" t="s">
        <v>70</v>
      </c>
    </row>
    <row r="30" customFormat="false" ht="15" hidden="false" customHeight="false" outlineLevel="0" collapsed="false">
      <c r="A30" s="8" t="s">
        <v>71</v>
      </c>
      <c r="B30" s="17" t="n">
        <v>2.5</v>
      </c>
      <c r="C30" s="8" t="s">
        <v>62</v>
      </c>
      <c r="D30" s="10" t="s">
        <v>72</v>
      </c>
    </row>
    <row r="31" customFormat="false" ht="15" hidden="false" customHeight="false" outlineLevel="0" collapsed="false">
      <c r="A31" s="8" t="s">
        <v>73</v>
      </c>
      <c r="B31" s="17" t="n">
        <v>10</v>
      </c>
      <c r="C31" s="8" t="s">
        <v>62</v>
      </c>
      <c r="D31" s="10" t="s">
        <v>74</v>
      </c>
    </row>
    <row r="33" customFormat="false" ht="15" hidden="false" customHeight="false" outlineLevel="0" collapsed="false">
      <c r="A33" s="6" t="s">
        <v>75</v>
      </c>
    </row>
    <row r="34" customFormat="false" ht="15" hidden="false" customHeight="false" outlineLevel="0" collapsed="false">
      <c r="A34" s="7" t="s">
        <v>23</v>
      </c>
      <c r="B34" s="7" t="s">
        <v>24</v>
      </c>
      <c r="C34" s="7" t="s">
        <v>25</v>
      </c>
      <c r="D34" s="7" t="s">
        <v>26</v>
      </c>
    </row>
    <row r="35" customFormat="false" ht="15" hidden="false" customHeight="false" outlineLevel="0" collapsed="false">
      <c r="A35" s="8" t="s">
        <v>76</v>
      </c>
      <c r="B35" s="18" t="n">
        <v>6</v>
      </c>
      <c r="C35" s="8" t="s">
        <v>77</v>
      </c>
      <c r="D35" s="10" t="s">
        <v>78</v>
      </c>
    </row>
    <row r="36" customFormat="false" ht="15" hidden="false" customHeight="false" outlineLevel="0" collapsed="false">
      <c r="A36" s="8" t="s">
        <v>79</v>
      </c>
      <c r="B36" s="17" t="n">
        <v>0.2</v>
      </c>
      <c r="C36" s="8" t="s">
        <v>62</v>
      </c>
      <c r="D36" s="10" t="s">
        <v>80</v>
      </c>
    </row>
    <row r="37" customFormat="false" ht="15" hidden="false" customHeight="false" outlineLevel="0" collapsed="false">
      <c r="A37" s="8" t="s">
        <v>81</v>
      </c>
      <c r="B37" s="19" t="n">
        <v>1.5</v>
      </c>
      <c r="C37" s="8" t="s">
        <v>82</v>
      </c>
      <c r="D37" s="10" t="s">
        <v>83</v>
      </c>
    </row>
    <row r="38" customFormat="false" ht="15" hidden="false" customHeight="false" outlineLevel="0" collapsed="false">
      <c r="A38" s="8" t="s">
        <v>84</v>
      </c>
      <c r="B38" s="17" t="n">
        <v>0.4</v>
      </c>
      <c r="C38" s="8" t="s">
        <v>62</v>
      </c>
      <c r="D38" s="10" t="s">
        <v>85</v>
      </c>
    </row>
    <row r="40" customFormat="false" ht="15" hidden="false" customHeight="false" outlineLevel="0" collapsed="false">
      <c r="A40" s="6" t="s">
        <v>86</v>
      </c>
    </row>
    <row r="41" customFormat="false" ht="15" hidden="false" customHeight="false" outlineLevel="0" collapsed="false">
      <c r="A41" s="7" t="s">
        <v>23</v>
      </c>
      <c r="B41" s="7" t="s">
        <v>24</v>
      </c>
      <c r="C41" s="7" t="s">
        <v>25</v>
      </c>
      <c r="D41" s="7" t="s">
        <v>26</v>
      </c>
    </row>
    <row r="42" customFormat="false" ht="15" hidden="false" customHeight="false" outlineLevel="0" collapsed="false">
      <c r="A42" s="8" t="s">
        <v>87</v>
      </c>
      <c r="B42" s="17" t="n">
        <v>20</v>
      </c>
      <c r="C42" s="8" t="s">
        <v>88</v>
      </c>
      <c r="D42" s="10" t="s">
        <v>89</v>
      </c>
    </row>
    <row r="43" customFormat="false" ht="15" hidden="false" customHeight="false" outlineLevel="0" collapsed="false">
      <c r="A43" s="8" t="s">
        <v>90</v>
      </c>
      <c r="B43" s="17" t="n">
        <v>0</v>
      </c>
      <c r="C43" s="8" t="s">
        <v>88</v>
      </c>
      <c r="D43" s="10" t="s">
        <v>91</v>
      </c>
    </row>
    <row r="44" customFormat="false" ht="15" hidden="false" customHeight="false" outlineLevel="0" collapsed="false">
      <c r="A44" s="8" t="s">
        <v>92</v>
      </c>
      <c r="B44" s="17" t="n">
        <v>0</v>
      </c>
      <c r="C44" s="8" t="s">
        <v>88</v>
      </c>
      <c r="D44" s="10" t="s">
        <v>93</v>
      </c>
    </row>
    <row r="45" customFormat="false" ht="15" hidden="false" customHeight="false" outlineLevel="0" collapsed="false">
      <c r="A45" s="8" t="s">
        <v>94</v>
      </c>
      <c r="B45" s="15" t="n">
        <v>3</v>
      </c>
      <c r="C45" s="8" t="s">
        <v>95</v>
      </c>
      <c r="D45" s="10" t="s">
        <v>96</v>
      </c>
    </row>
    <row r="46" customFormat="false" ht="15" hidden="false" customHeight="false" outlineLevel="0" collapsed="false">
      <c r="A46" s="8" t="s">
        <v>97</v>
      </c>
      <c r="B46" s="15" t="n">
        <v>15</v>
      </c>
      <c r="C46" s="8" t="s">
        <v>95</v>
      </c>
      <c r="D46" s="10" t="s">
        <v>98</v>
      </c>
    </row>
    <row r="47" customFormat="false" ht="15" hidden="false" customHeight="false" outlineLevel="0" collapsed="false">
      <c r="A47" s="8" t="s">
        <v>99</v>
      </c>
      <c r="B47" s="20" t="n">
        <v>40</v>
      </c>
      <c r="C47" s="8" t="s">
        <v>95</v>
      </c>
      <c r="D47" s="10" t="s">
        <v>100</v>
      </c>
    </row>
    <row r="48" customFormat="false" ht="15" hidden="false" customHeight="false" outlineLevel="0" collapsed="false">
      <c r="A48" s="8" t="s">
        <v>101</v>
      </c>
      <c r="B48" s="20" t="n">
        <v>100</v>
      </c>
      <c r="C48" s="8" t="s">
        <v>95</v>
      </c>
      <c r="D48" s="10" t="s">
        <v>102</v>
      </c>
    </row>
    <row r="49" customFormat="false" ht="15" hidden="false" customHeight="false" outlineLevel="0" collapsed="false">
      <c r="A49" s="8" t="s">
        <v>103</v>
      </c>
      <c r="B49" s="21" t="n">
        <v>5000</v>
      </c>
      <c r="C49" s="8" t="s">
        <v>49</v>
      </c>
      <c r="D49" s="10" t="s">
        <v>104</v>
      </c>
    </row>
    <row r="50" customFormat="false" ht="15" hidden="false" customHeight="false" outlineLevel="0" collapsed="false">
      <c r="A50" s="8" t="s">
        <v>105</v>
      </c>
      <c r="B50" s="18" t="n">
        <v>24</v>
      </c>
      <c r="C50" s="8" t="s">
        <v>106</v>
      </c>
      <c r="D50" s="10"/>
    </row>
    <row r="51" customFormat="false" ht="15" hidden="false" customHeight="false" outlineLevel="0" collapsed="false">
      <c r="A51" s="8" t="s">
        <v>107</v>
      </c>
      <c r="B51" s="20" t="n">
        <v>300</v>
      </c>
      <c r="C51" s="8" t="s">
        <v>95</v>
      </c>
      <c r="D51" s="10" t="s">
        <v>98</v>
      </c>
    </row>
    <row r="52" customFormat="false" ht="15" hidden="false" customHeight="false" outlineLevel="0" collapsed="false">
      <c r="A52" s="8" t="s">
        <v>108</v>
      </c>
      <c r="B52" s="20" t="n">
        <v>0</v>
      </c>
      <c r="C52" s="8" t="s">
        <v>95</v>
      </c>
      <c r="D52" s="10" t="s">
        <v>109</v>
      </c>
    </row>
    <row r="53" customFormat="false" ht="15" hidden="false" customHeight="false" outlineLevel="0" collapsed="false">
      <c r="A53" s="8" t="s">
        <v>110</v>
      </c>
      <c r="B53" s="15" t="n">
        <v>0</v>
      </c>
      <c r="C53" s="8" t="s">
        <v>95</v>
      </c>
      <c r="D53" s="10"/>
    </row>
    <row r="55" customFormat="false" ht="15" hidden="false" customHeight="false" outlineLevel="0" collapsed="false">
      <c r="A55" s="6" t="s">
        <v>111</v>
      </c>
    </row>
    <row r="56" customFormat="false" ht="15" hidden="false" customHeight="false" outlineLevel="0" collapsed="false">
      <c r="A56" s="7" t="s">
        <v>23</v>
      </c>
      <c r="B56" s="7" t="s">
        <v>24</v>
      </c>
      <c r="C56" s="7" t="s">
        <v>25</v>
      </c>
      <c r="D56" s="7" t="s">
        <v>26</v>
      </c>
    </row>
    <row r="57" customFormat="false" ht="15" hidden="false" customHeight="false" outlineLevel="0" collapsed="false">
      <c r="A57" s="8" t="s">
        <v>112</v>
      </c>
      <c r="B57" s="14" t="n">
        <v>0.6</v>
      </c>
      <c r="C57" s="8" t="s">
        <v>31</v>
      </c>
      <c r="D57" s="10" t="s">
        <v>113</v>
      </c>
    </row>
    <row r="58" customFormat="false" ht="15" hidden="false" customHeight="false" outlineLevel="0" collapsed="false">
      <c r="A58" s="8" t="s">
        <v>114</v>
      </c>
      <c r="B58" s="16" t="n">
        <v>10</v>
      </c>
      <c r="C58" s="8" t="s">
        <v>115</v>
      </c>
      <c r="D58" s="10" t="s">
        <v>116</v>
      </c>
    </row>
    <row r="59" customFormat="false" ht="15" hidden="false" customHeight="false" outlineLevel="0" collapsed="false">
      <c r="A59" s="8" t="s">
        <v>117</v>
      </c>
      <c r="B59" s="16" t="n">
        <v>20</v>
      </c>
      <c r="C59" s="8" t="s">
        <v>118</v>
      </c>
      <c r="D59" s="10" t="s">
        <v>98</v>
      </c>
    </row>
    <row r="61" customFormat="false" ht="15" hidden="false" customHeight="false" outlineLevel="0" collapsed="false">
      <c r="A61" s="6" t="s">
        <v>119</v>
      </c>
    </row>
    <row r="62" customFormat="false" ht="15" hidden="false" customHeight="false" outlineLevel="0" collapsed="false">
      <c r="A62" s="7" t="s">
        <v>23</v>
      </c>
      <c r="B62" s="7" t="s">
        <v>24</v>
      </c>
      <c r="C62" s="7" t="s">
        <v>25</v>
      </c>
      <c r="D62" s="7" t="s">
        <v>120</v>
      </c>
    </row>
    <row r="63" customFormat="false" ht="15" hidden="false" customHeight="false" outlineLevel="0" collapsed="false">
      <c r="A63" s="8" t="s">
        <v>121</v>
      </c>
      <c r="B63" s="22" t="n">
        <f aca="false">($B$23*$B$25+$B$24*$B$26+$B$27*$B$28)/1000000*(1+$B$29)</f>
        <v>0.003489</v>
      </c>
      <c r="C63" s="8" t="s">
        <v>62</v>
      </c>
      <c r="D63" s="10" t="s">
        <v>122</v>
      </c>
    </row>
    <row r="64" customFormat="false" ht="15" hidden="false" customHeight="false" outlineLevel="0" collapsed="false">
      <c r="A64" s="8" t="s">
        <v>123</v>
      </c>
      <c r="B64" s="22" t="n">
        <f aca="false">$B$35*$B$36/100000+$B$37*$B$38/100000</f>
        <v>1.8E-005</v>
      </c>
      <c r="C64" s="8" t="s">
        <v>62</v>
      </c>
      <c r="D64" s="10" t="s">
        <v>124</v>
      </c>
    </row>
    <row r="65" customFormat="false" ht="15" hidden="false" customHeight="false" outlineLevel="0" collapsed="false">
      <c r="A65" s="8" t="s">
        <v>125</v>
      </c>
      <c r="B65" s="23" t="n">
        <f aca="false">($B$63+$B$64)*$B$6</f>
        <v>0.00603204</v>
      </c>
      <c r="C65" s="8" t="s">
        <v>49</v>
      </c>
      <c r="D65" s="10" t="s">
        <v>126</v>
      </c>
    </row>
    <row r="66" customFormat="false" ht="15" hidden="false" customHeight="false" outlineLevel="0" collapsed="false">
      <c r="A66" s="8" t="s">
        <v>127</v>
      </c>
      <c r="B66" s="23" t="n">
        <f aca="false">(($B$23*$B$30+$B$24*$B$31+$B$27*$B$28)/1000000*(1+$B$29)+$B$64)*$B$6</f>
        <v>0.10000854</v>
      </c>
      <c r="C66" s="8" t="s">
        <v>49</v>
      </c>
      <c r="D66" s="10" t="s">
        <v>128</v>
      </c>
    </row>
    <row r="67" customFormat="false" ht="15" hidden="false" customHeight="false" outlineLevel="0" collapsed="false">
      <c r="A67" s="8" t="s">
        <v>129</v>
      </c>
      <c r="B67" s="24" t="n">
        <f aca="false">$B$13*(1-$B$16)+($B$14+$B$15)*$B$16+$B$18</f>
        <v>0.0392</v>
      </c>
      <c r="C67" s="8" t="s">
        <v>40</v>
      </c>
      <c r="D67" s="10" t="s">
        <v>130</v>
      </c>
    </row>
    <row r="68" customFormat="false" ht="15" hidden="false" customHeight="false" outlineLevel="0" collapsed="false">
      <c r="A68" s="8" t="s">
        <v>131</v>
      </c>
      <c r="B68" s="25" t="n">
        <f aca="false">($B$42+$B$43+$B$44)*$B$6+$B$45+$B$46+$B$47+$B$48+$B$49/$B$50+$B$51+$B$52+$B$53</f>
        <v>700.733333333333</v>
      </c>
      <c r="C68" s="8" t="s">
        <v>49</v>
      </c>
      <c r="D68" s="10"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6"/>
    <col collapsed="false" customWidth="true" hidden="false" outlineLevel="0" max="6" min="6" style="0" width="60"/>
  </cols>
  <sheetData>
    <row r="1" customFormat="false" ht="17.35" hidden="false" customHeight="false" outlineLevel="0" collapsed="false">
      <c r="A1" s="4" t="s">
        <v>133</v>
      </c>
    </row>
    <row r="2" customFormat="false" ht="15" hidden="false" customHeight="false" outlineLevel="0" collapsed="false">
      <c r="A2" s="5" t="s">
        <v>134</v>
      </c>
    </row>
    <row r="4" customFormat="false" ht="15" hidden="false" customHeight="false" outlineLevel="0" collapsed="false">
      <c r="A4" s="7"/>
      <c r="B4" s="7" t="s">
        <v>135</v>
      </c>
      <c r="C4" s="7" t="s">
        <v>136</v>
      </c>
      <c r="D4" s="7" t="s">
        <v>137</v>
      </c>
      <c r="E4" s="7" t="s">
        <v>138</v>
      </c>
      <c r="F4" s="7" t="s">
        <v>139</v>
      </c>
    </row>
    <row r="5" customFormat="false" ht="15" hidden="false" customHeight="false" outlineLevel="0" collapsed="false">
      <c r="A5" s="8" t="s">
        <v>140</v>
      </c>
      <c r="B5" s="15" t="n">
        <v>0</v>
      </c>
      <c r="C5" s="15" t="n">
        <v>15</v>
      </c>
      <c r="D5" s="15" t="n">
        <v>29</v>
      </c>
      <c r="E5" s="15" t="n">
        <v>150</v>
      </c>
      <c r="F5" s="10" t="s">
        <v>141</v>
      </c>
    </row>
    <row r="6" customFormat="false" ht="15" hidden="false" customHeight="false" outlineLevel="0" collapsed="false">
      <c r="A6" s="8" t="s">
        <v>142</v>
      </c>
      <c r="B6" s="18" t="n">
        <v>5</v>
      </c>
      <c r="C6" s="18" t="n">
        <v>150</v>
      </c>
      <c r="D6" s="18" t="n">
        <v>300</v>
      </c>
      <c r="E6" s="18" t="n">
        <v>1000</v>
      </c>
      <c r="F6" s="10" t="s">
        <v>143</v>
      </c>
    </row>
    <row r="7" customFormat="false" ht="15" hidden="false" customHeight="false" outlineLevel="0" collapsed="false">
      <c r="A7" s="8" t="s">
        <v>144</v>
      </c>
      <c r="B7" s="26" t="n">
        <f aca="false">Inputs!$B$57</f>
        <v>0.6</v>
      </c>
      <c r="C7" s="14" t="n">
        <v>0.35</v>
      </c>
      <c r="D7" s="14" t="n">
        <v>0.3</v>
      </c>
      <c r="E7" s="14" t="n">
        <v>0.4</v>
      </c>
      <c r="F7" s="10" t="s">
        <v>145</v>
      </c>
    </row>
    <row r="8" customFormat="false" ht="15" hidden="false" customHeight="false" outlineLevel="0" collapsed="false">
      <c r="A8" s="8" t="s">
        <v>146</v>
      </c>
      <c r="B8" s="25" t="n">
        <f aca="false">B5-B5/(1+Inputs!$B$7*Inputs!$B$8)</f>
        <v>0</v>
      </c>
      <c r="C8" s="25" t="n">
        <f aca="false">C5-C5/(1+Inputs!$B$7*Inputs!$B$8)</f>
        <v>1.95652173913043</v>
      </c>
      <c r="D8" s="25" t="n">
        <f aca="false">D5-D5/(1+Inputs!$B$7*Inputs!$B$8)</f>
        <v>3.78260869565217</v>
      </c>
      <c r="E8" s="25" t="n">
        <f aca="false">E5-E5/(1+Inputs!$B$7*Inputs!$B$8)</f>
        <v>19.5652173913043</v>
      </c>
      <c r="F8" s="10" t="s">
        <v>147</v>
      </c>
    </row>
    <row r="9" customFormat="false" ht="15" hidden="false" customHeight="false" outlineLevel="0" collapsed="false">
      <c r="A9" s="8" t="s">
        <v>148</v>
      </c>
      <c r="B9" s="25" t="n">
        <f aca="false">B5-B8</f>
        <v>0</v>
      </c>
      <c r="C9" s="25" t="n">
        <f aca="false">C5-C8</f>
        <v>13.0434782608696</v>
      </c>
      <c r="D9" s="25" t="n">
        <f aca="false">D5-D8</f>
        <v>25.2173913043478</v>
      </c>
      <c r="E9" s="25" t="n">
        <f aca="false">E5-E8</f>
        <v>130.434782608696</v>
      </c>
      <c r="F9" s="10"/>
    </row>
    <row r="10" customFormat="false" ht="15" hidden="false" customHeight="false" outlineLevel="0" collapsed="false">
      <c r="A10" s="8" t="s">
        <v>149</v>
      </c>
      <c r="B10" s="25" t="n">
        <f aca="false">IF(B5=0,0,(B5*Inputs!$B$67+Inputs!$B$17)*(1+Inputs!$B$19*(1-Inputs!$B$8)))</f>
        <v>0</v>
      </c>
      <c r="C10" s="25" t="n">
        <f aca="false">IF(C5=0,0,(C5*Inputs!$B$67+Inputs!$B$17)*(1+Inputs!$B$19*(1-Inputs!$B$8)))</f>
        <v>0.888</v>
      </c>
      <c r="D10" s="25" t="n">
        <f aca="false">IF(D5=0,0,(D5*Inputs!$B$67+Inputs!$B$17)*(1+Inputs!$B$19*(1-Inputs!$B$8)))</f>
        <v>1.4368</v>
      </c>
      <c r="E10" s="25" t="n">
        <f aca="false">IF(E5=0,0,(E5*Inputs!$B$67+Inputs!$B$17)*(1+Inputs!$B$19*(1-Inputs!$B$8)))</f>
        <v>6.18</v>
      </c>
      <c r="F10" s="10" t="s">
        <v>150</v>
      </c>
    </row>
    <row r="11" customFormat="false" ht="15" hidden="false" customHeight="false" outlineLevel="0" collapsed="false">
      <c r="A11" s="8" t="s">
        <v>151</v>
      </c>
      <c r="B11" s="27" t="n">
        <f aca="false">B6*B7</f>
        <v>3</v>
      </c>
      <c r="C11" s="27" t="n">
        <f aca="false">C6*C7</f>
        <v>52.5</v>
      </c>
      <c r="D11" s="27" t="n">
        <f aca="false">D6*D7</f>
        <v>90</v>
      </c>
      <c r="E11" s="27" t="n">
        <f aca="false">E6*E7</f>
        <v>400</v>
      </c>
      <c r="F11" s="10"/>
    </row>
    <row r="12" customFormat="false" ht="15" hidden="false" customHeight="false" outlineLevel="0" collapsed="false">
      <c r="A12" s="8" t="s">
        <v>152</v>
      </c>
      <c r="B12" s="25" t="n">
        <f aca="false">B11*Inputs!$B$65</f>
        <v>0.01809612</v>
      </c>
      <c r="C12" s="25" t="n">
        <f aca="false">C11*Inputs!$B$65</f>
        <v>0.3166821</v>
      </c>
      <c r="D12" s="25" t="n">
        <f aca="false">D11*Inputs!$B$65</f>
        <v>0.5428836</v>
      </c>
      <c r="E12" s="25" t="n">
        <f aca="false">E11*Inputs!$B$65</f>
        <v>2.412816</v>
      </c>
      <c r="F12" s="10" t="s">
        <v>153</v>
      </c>
    </row>
    <row r="13" customFormat="false" ht="15" hidden="false" customHeight="false" outlineLevel="0" collapsed="false">
      <c r="A13" s="28" t="s">
        <v>154</v>
      </c>
      <c r="B13" s="29" t="n">
        <f aca="false">B9-B10-B12</f>
        <v>-0.01809612</v>
      </c>
      <c r="C13" s="29" t="n">
        <f aca="false">C9-C10-C12</f>
        <v>11.8387961608696</v>
      </c>
      <c r="D13" s="29" t="n">
        <f aca="false">D9-D10-D12</f>
        <v>23.2377077043478</v>
      </c>
      <c r="E13" s="29" t="n">
        <f aca="false">E9-E10-E12</f>
        <v>121.841966608696</v>
      </c>
      <c r="F13" s="10" t="s">
        <v>155</v>
      </c>
    </row>
    <row r="14" customFormat="false" ht="15" hidden="false" customHeight="false" outlineLevel="0" collapsed="false">
      <c r="A14" s="8" t="s">
        <v>156</v>
      </c>
      <c r="B14" s="30" t="n">
        <f aca="false">IF(B9=0,0,B13/B9)</f>
        <v>0</v>
      </c>
      <c r="C14" s="30" t="n">
        <f aca="false">IF(C9=0,0,C13/C9)</f>
        <v>0.907641039</v>
      </c>
      <c r="D14" s="30" t="n">
        <f aca="false">IF(D9=0,0,D13/D9)</f>
        <v>0.921495305517241</v>
      </c>
      <c r="E14" s="30" t="n">
        <f aca="false">IF(E9=0,0,E13/E9)</f>
        <v>0.934121744</v>
      </c>
      <c r="F14" s="10"/>
    </row>
    <row r="15" customFormat="false" ht="15" hidden="false" customHeight="false" outlineLevel="0" collapsed="false">
      <c r="A15" s="8" t="s">
        <v>157</v>
      </c>
      <c r="B15" s="25" t="n">
        <f aca="false">B6*Inputs!$B$65</f>
        <v>0.0301602</v>
      </c>
      <c r="C15" s="25" t="n">
        <f aca="false">C6*Inputs!$B$65</f>
        <v>0.904806</v>
      </c>
      <c r="D15" s="25" t="n">
        <f aca="false">D6*Inputs!$B$65</f>
        <v>1.809612</v>
      </c>
      <c r="E15" s="25" t="n">
        <f aca="false">E6*Inputs!$B$65</f>
        <v>6.03204</v>
      </c>
      <c r="F15" s="10" t="s">
        <v>158</v>
      </c>
    </row>
    <row r="16" customFormat="false" ht="15" hidden="false" customHeight="false" outlineLevel="0" collapsed="false">
      <c r="A16" s="28" t="s">
        <v>159</v>
      </c>
      <c r="B16" s="29" t="n">
        <f aca="false">B9-B10-B15</f>
        <v>-0.0301602</v>
      </c>
      <c r="C16" s="29" t="n">
        <f aca="false">C9-C10-C15</f>
        <v>11.2506722608696</v>
      </c>
      <c r="D16" s="29" t="n">
        <f aca="false">D9-D10-D15</f>
        <v>21.9709793043478</v>
      </c>
      <c r="E16" s="29" t="n">
        <f aca="false">E9-E10-E15</f>
        <v>118.222742608696</v>
      </c>
      <c r="F16" s="10"/>
    </row>
    <row r="17" customFormat="false" ht="15" hidden="false" customHeight="false" outlineLevel="0" collapsed="false">
      <c r="A17" s="8" t="s">
        <v>160</v>
      </c>
      <c r="B17" s="25" t="n">
        <f aca="false">B6*Inputs!$B$66</f>
        <v>0.5000427</v>
      </c>
      <c r="C17" s="25" t="n">
        <f aca="false">C6*Inputs!$B$66</f>
        <v>15.001281</v>
      </c>
      <c r="D17" s="25" t="n">
        <f aca="false">D6*Inputs!$B$66</f>
        <v>30.002562</v>
      </c>
      <c r="E17" s="25" t="n">
        <f aca="false">E6*Inputs!$B$66</f>
        <v>100.00854</v>
      </c>
      <c r="F17" s="10" t="s">
        <v>161</v>
      </c>
    </row>
    <row r="18" customFormat="false" ht="15" hidden="false" customHeight="false" outlineLevel="0" collapsed="false">
      <c r="A18" s="28" t="s">
        <v>162</v>
      </c>
      <c r="B18" s="29" t="n">
        <f aca="false">B9-B10-B17</f>
        <v>-0.5000427</v>
      </c>
      <c r="C18" s="29" t="n">
        <f aca="false">C9-C10-C17</f>
        <v>-2.84580273913043</v>
      </c>
      <c r="D18" s="29" t="n">
        <f aca="false">D9-D10-D17</f>
        <v>-6.22197069565217</v>
      </c>
      <c r="E18" s="29" t="n">
        <f aca="false">E9-E10-E17</f>
        <v>24.2462426086957</v>
      </c>
      <c r="F18" s="10" t="s">
        <v>163</v>
      </c>
    </row>
    <row r="19" customFormat="false" ht="15" hidden="false" customHeight="false" outlineLevel="0" collapsed="false">
      <c r="A19" s="28" t="s">
        <v>164</v>
      </c>
      <c r="B19" s="8" t="str">
        <f aca="false">IF(B5=0,"Free plan",IF(B16&gt;0,"Yes","No"))</f>
        <v>Free plan</v>
      </c>
      <c r="C19" s="8" t="str">
        <f aca="false">IF(C5=0,"Free plan",IF(C16&gt;0,"Yes","No"))</f>
        <v>Yes</v>
      </c>
      <c r="D19" s="8" t="str">
        <f aca="false">IF(D5=0,"Free plan",IF(D16&gt;0,"Yes","No"))</f>
        <v>Yes</v>
      </c>
      <c r="E19" s="8" t="str">
        <f aca="false">IF(E5=0,"Free plan",IF(E16&gt;0,"Yes","No"))</f>
        <v>Yes</v>
      </c>
      <c r="F19" s="10"/>
    </row>
  </sheetData>
  <conditionalFormatting sqref="B13:E1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4" min="2" style="0" width="18"/>
    <col collapsed="false" customWidth="true" hidden="false" outlineLevel="0" max="5" min="5" style="0" width="55"/>
  </cols>
  <sheetData>
    <row r="1" customFormat="false" ht="17.35" hidden="false" customHeight="false" outlineLevel="0" collapsed="false">
      <c r="A1" s="4" t="s">
        <v>165</v>
      </c>
    </row>
    <row r="2" customFormat="false" ht="15" hidden="false" customHeight="false" outlineLevel="0" collapsed="false">
      <c r="A2" s="5" t="s">
        <v>166</v>
      </c>
    </row>
    <row r="4" customFormat="false" ht="15" hidden="false" customHeight="false" outlineLevel="0" collapsed="false">
      <c r="A4" s="7"/>
      <c r="B4" s="7" t="s">
        <v>167</v>
      </c>
      <c r="C4" s="7" t="s">
        <v>168</v>
      </c>
      <c r="D4" s="7" t="s">
        <v>169</v>
      </c>
      <c r="E4" s="7" t="s">
        <v>139</v>
      </c>
    </row>
    <row r="5" customFormat="false" ht="15" hidden="false" customHeight="false" outlineLevel="0" collapsed="false">
      <c r="A5" s="8" t="s">
        <v>170</v>
      </c>
      <c r="B5" s="16" t="n">
        <v>20</v>
      </c>
      <c r="C5" s="16" t="n">
        <v>100</v>
      </c>
      <c r="D5" s="16" t="n">
        <v>400</v>
      </c>
    </row>
    <row r="6" customFormat="false" ht="15" hidden="false" customHeight="false" outlineLevel="0" collapsed="false">
      <c r="A6" s="8" t="s">
        <v>171</v>
      </c>
      <c r="B6" s="16" t="n">
        <v>10</v>
      </c>
      <c r="C6" s="16" t="n">
        <v>50</v>
      </c>
      <c r="D6" s="16" t="n">
        <v>200</v>
      </c>
    </row>
    <row r="7" customFormat="false" ht="15" hidden="false" customHeight="false" outlineLevel="0" collapsed="false">
      <c r="A7" s="8" t="s">
        <v>172</v>
      </c>
      <c r="B7" s="16" t="n">
        <v>0</v>
      </c>
      <c r="C7" s="16" t="n">
        <v>3</v>
      </c>
      <c r="D7" s="16" t="n">
        <v>15</v>
      </c>
    </row>
    <row r="8" customFormat="false" ht="15" hidden="false" customHeight="false" outlineLevel="0" collapsed="false">
      <c r="A8" s="8" t="s">
        <v>173</v>
      </c>
      <c r="B8" s="31" t="n">
        <f aca="false">SUM(B5:B7)</f>
        <v>30</v>
      </c>
      <c r="C8" s="31" t="n">
        <f aca="false">SUM(C5:C7)</f>
        <v>153</v>
      </c>
      <c r="D8" s="31" t="n">
        <f aca="false">SUM(D5:D7)</f>
        <v>615</v>
      </c>
      <c r="E8" s="10"/>
    </row>
    <row r="9" customFormat="false" ht="15" hidden="false" customHeight="false" outlineLevel="0" collapsed="false">
      <c r="A9" s="8" t="s">
        <v>174</v>
      </c>
      <c r="B9" s="31" t="n">
        <f aca="false">B8*Inputs!$B$58</f>
        <v>300</v>
      </c>
      <c r="C9" s="31" t="n">
        <f aca="false">C8*Inputs!$B$58</f>
        <v>1530</v>
      </c>
      <c r="D9" s="31" t="n">
        <f aca="false">D8*Inputs!$B$58</f>
        <v>6150</v>
      </c>
      <c r="E9" s="10" t="s">
        <v>175</v>
      </c>
    </row>
    <row r="10" customFormat="false" ht="15" hidden="false" customHeight="false" outlineLevel="0" collapsed="false">
      <c r="A10" s="8" t="s">
        <v>176</v>
      </c>
      <c r="B10" s="31" t="n">
        <f aca="false">B8*Inputs!$B$59</f>
        <v>600</v>
      </c>
      <c r="C10" s="31" t="n">
        <f aca="false">C8*Inputs!$B$59</f>
        <v>3060</v>
      </c>
      <c r="D10" s="31" t="n">
        <f aca="false">D8*Inputs!$B$59</f>
        <v>12300</v>
      </c>
      <c r="E10" s="10" t="s">
        <v>175</v>
      </c>
    </row>
    <row r="11" customFormat="false" ht="15" hidden="false" customHeight="false" outlineLevel="0" collapsed="false">
      <c r="A11" s="8" t="s">
        <v>177</v>
      </c>
      <c r="B11" s="32" t="n">
        <f aca="false">B5*Plans!$C$5+B6*Plans!$D$5+B7*Plans!$E$5</f>
        <v>590</v>
      </c>
      <c r="C11" s="32" t="n">
        <f aca="false">C5*Plans!$C$5+C6*Plans!$D$5+C7*Plans!$E$5</f>
        <v>3400</v>
      </c>
      <c r="D11" s="32" t="n">
        <f aca="false">D5*Plans!$C$5+D6*Plans!$D$5+D7*Plans!$E$5</f>
        <v>14050</v>
      </c>
      <c r="E11" s="10"/>
    </row>
    <row r="12" customFormat="false" ht="15" hidden="false" customHeight="false" outlineLevel="0" collapsed="false">
      <c r="A12" s="8" t="s">
        <v>178</v>
      </c>
      <c r="B12" s="32" t="n">
        <f aca="false">B5*Plans!$C$8+B6*Plans!$D$8+B7*Plans!$E$8</f>
        <v>76.9565217391304</v>
      </c>
      <c r="C12" s="32" t="n">
        <f aca="false">C5*Plans!$C$8+C6*Plans!$D$8+C7*Plans!$E$8</f>
        <v>443.478260869565</v>
      </c>
      <c r="D12" s="32" t="n">
        <f aca="false">D5*Plans!$C$8+D6*Plans!$D$8+D7*Plans!$E$8</f>
        <v>1832.60869565217</v>
      </c>
      <c r="E12" s="10" t="s">
        <v>179</v>
      </c>
    </row>
    <row r="13" customFormat="false" ht="15" hidden="false" customHeight="false" outlineLevel="0" collapsed="false">
      <c r="A13" s="8" t="s">
        <v>180</v>
      </c>
      <c r="B13" s="32" t="n">
        <f aca="false">B11-B12</f>
        <v>513.04347826087</v>
      </c>
      <c r="C13" s="32" t="n">
        <f aca="false">C11-C12</f>
        <v>2956.52173913044</v>
      </c>
      <c r="D13" s="32" t="n">
        <f aca="false">D11-D12</f>
        <v>12217.3913043478</v>
      </c>
      <c r="E13" s="10"/>
    </row>
    <row r="14" customFormat="false" ht="15" hidden="false" customHeight="false" outlineLevel="0" collapsed="false">
      <c r="A14" s="8" t="s">
        <v>181</v>
      </c>
      <c r="B14" s="32" t="n">
        <f aca="false">B5*Plans!$C$10+B6*Plans!$D$10+B7*Plans!$E$10</f>
        <v>32.128</v>
      </c>
      <c r="C14" s="32" t="n">
        <f aca="false">C5*Plans!$C$10+C6*Plans!$D$10+C7*Plans!$E$10</f>
        <v>179.18</v>
      </c>
      <c r="D14" s="32" t="n">
        <f aca="false">D5*Plans!$C$10+D6*Plans!$D$10+D7*Plans!$E$10</f>
        <v>735.26</v>
      </c>
      <c r="E14" s="10"/>
    </row>
    <row r="15" customFormat="false" ht="15" hidden="false" customHeight="false" outlineLevel="0" collapsed="false">
      <c r="A15" s="8" t="s">
        <v>182</v>
      </c>
      <c r="B15" s="32" t="n">
        <f aca="false">B5*Plans!$C$12+B6*Plans!$D$12+B7*Plans!$E$12</f>
        <v>11.762478</v>
      </c>
      <c r="C15" s="32" t="n">
        <f aca="false">C5*Plans!$C$12+C6*Plans!$D$12+C7*Plans!$E$12</f>
        <v>66.050838</v>
      </c>
      <c r="D15" s="32" t="n">
        <f aca="false">D5*Plans!$C$12+D6*Plans!$D$12+D7*Plans!$E$12</f>
        <v>271.4418</v>
      </c>
      <c r="E15" s="10" t="s">
        <v>183</v>
      </c>
    </row>
    <row r="16" customFormat="false" ht="15" hidden="false" customHeight="false" outlineLevel="0" collapsed="false">
      <c r="A16" s="8" t="s">
        <v>184</v>
      </c>
      <c r="B16" s="32" t="n">
        <f aca="false">(B9*Plans!$B$6+B10*2)*Inputs!$B$57*Inputs!$B$65</f>
        <v>9.7719048</v>
      </c>
      <c r="C16" s="32" t="n">
        <f aca="false">(C9*Plans!$B$6+C10*2)*Inputs!$B$57*Inputs!$B$65</f>
        <v>49.83671448</v>
      </c>
      <c r="D16" s="32" t="n">
        <f aca="false">(D9*Plans!$B$6+D10*2)*Inputs!$B$57*Inputs!$B$65</f>
        <v>200.3240484</v>
      </c>
      <c r="E16" s="10" t="s">
        <v>185</v>
      </c>
    </row>
    <row r="17" customFormat="false" ht="15" hidden="false" customHeight="false" outlineLevel="0" collapsed="false">
      <c r="A17" s="8" t="s">
        <v>186</v>
      </c>
      <c r="B17" s="32" t="n">
        <f aca="false">Inputs!$B$68</f>
        <v>700.733333333333</v>
      </c>
      <c r="C17" s="32" t="n">
        <f aca="false">Inputs!$B$68</f>
        <v>700.733333333333</v>
      </c>
      <c r="D17" s="32" t="n">
        <f aca="false">Inputs!$B$68</f>
        <v>700.733333333333</v>
      </c>
      <c r="E17" s="10" t="s">
        <v>187</v>
      </c>
    </row>
    <row r="18" customFormat="false" ht="15" hidden="false" customHeight="false" outlineLevel="0" collapsed="false">
      <c r="A18" s="8" t="s">
        <v>188</v>
      </c>
      <c r="B18" s="32" t="n">
        <f aca="false">SUM(B14:B17)</f>
        <v>754.395716133333</v>
      </c>
      <c r="C18" s="32" t="n">
        <f aca="false">SUM(C14:C17)</f>
        <v>995.800885813333</v>
      </c>
      <c r="D18" s="32" t="n">
        <f aca="false">SUM(D14:D17)</f>
        <v>1907.75918173333</v>
      </c>
      <c r="E18" s="10"/>
    </row>
    <row r="19" customFormat="false" ht="15" hidden="false" customHeight="false" outlineLevel="0" collapsed="false">
      <c r="A19" s="28" t="s">
        <v>189</v>
      </c>
      <c r="B19" s="33" t="n">
        <f aca="false">B13-B18</f>
        <v>-241.352237872464</v>
      </c>
      <c r="C19" s="33" t="n">
        <f aca="false">C13-C18</f>
        <v>1960.7208533171</v>
      </c>
      <c r="D19" s="33" t="n">
        <f aca="false">D13-D18</f>
        <v>10309.6321226145</v>
      </c>
      <c r="E19" s="10"/>
    </row>
    <row r="20" customFormat="false" ht="15" hidden="false" customHeight="false" outlineLevel="0" collapsed="false">
      <c r="A20" s="8" t="s">
        <v>190</v>
      </c>
      <c r="B20" s="32" t="n">
        <f aca="false">MAX(0,B19)*Inputs!$B$9</f>
        <v>0</v>
      </c>
      <c r="C20" s="32" t="n">
        <f aca="false">MAX(0,C19)*Inputs!$B$9</f>
        <v>549.001838928789</v>
      </c>
      <c r="D20" s="32" t="n">
        <f aca="false">MAX(0,D19)*Inputs!$B$9</f>
        <v>2886.69699433206</v>
      </c>
      <c r="E20" s="10" t="s">
        <v>191</v>
      </c>
    </row>
    <row r="21" customFormat="false" ht="15" hidden="false" customHeight="false" outlineLevel="0" collapsed="false">
      <c r="A21" s="28" t="s">
        <v>192</v>
      </c>
      <c r="B21" s="33" t="n">
        <f aca="false">B19-B20</f>
        <v>-241.352237872464</v>
      </c>
      <c r="C21" s="33" t="n">
        <f aca="false">C19-C20</f>
        <v>1411.71901438831</v>
      </c>
      <c r="D21" s="33" t="n">
        <f aca="false">D19-D20</f>
        <v>7422.93512828244</v>
      </c>
      <c r="E21" s="10"/>
    </row>
    <row r="22" customFormat="false" ht="15" hidden="false" customHeight="false" outlineLevel="0" collapsed="false">
      <c r="A22" s="8" t="s">
        <v>193</v>
      </c>
      <c r="B22" s="32" t="n">
        <f aca="false">B21*12</f>
        <v>-2896.22685446957</v>
      </c>
      <c r="C22" s="32" t="n">
        <f aca="false">C21*12</f>
        <v>16940.6281726598</v>
      </c>
      <c r="D22" s="32" t="n">
        <f aca="false">D21*12</f>
        <v>89075.2215393892</v>
      </c>
      <c r="E22" s="10"/>
    </row>
    <row r="23" customFormat="false" ht="15" hidden="false" customHeight="false" outlineLevel="0" collapsed="false">
      <c r="A23" s="28" t="s">
        <v>194</v>
      </c>
      <c r="B23" s="8" t="str">
        <f aca="false">IF(B21&gt;=0,"Yes","Not yet")</f>
        <v>Not yet</v>
      </c>
      <c r="C23" s="8" t="str">
        <f aca="false">IF(C21&gt;=0,"Yes","Not yet")</f>
        <v>Yes</v>
      </c>
      <c r="D23" s="8" t="str">
        <f aca="false">IF(D21&gt;=0,"Yes","Not yet")</f>
        <v>Yes</v>
      </c>
      <c r="E23" s="10"/>
    </row>
    <row r="24" customFormat="false" ht="15" hidden="false" customHeight="false" outlineLevel="0" collapsed="false">
      <c r="A24" s="8"/>
      <c r="E24" s="10"/>
    </row>
    <row r="25" customFormat="false" ht="15" hidden="false" customHeight="false" outlineLevel="0" collapsed="false">
      <c r="A25" s="28" t="s">
        <v>195</v>
      </c>
      <c r="E25" s="10"/>
    </row>
    <row r="26" customFormat="false" ht="15" hidden="false" customHeight="false" outlineLevel="0" collapsed="false">
      <c r="A26" s="8" t="s">
        <v>196</v>
      </c>
      <c r="B26" s="25" t="n">
        <f aca="false">IF(B8=0,0,(B5*Plans!$C$13+B6*Plans!$D$13+B7*Plans!$E$13)/B8)</f>
        <v>15.638433342029</v>
      </c>
      <c r="C26" s="25" t="n">
        <f aca="false">IF(C8=0,0,(C5*Plans!$C$13+C6*Plans!$D$13+C7*Plans!$E$13)/C8)</f>
        <v>17.720855562944</v>
      </c>
      <c r="D26" s="25" t="n">
        <f aca="false">IF(D8=0,0,(D5*Plans!$C$13+D6*Plans!$D$13+D7*Plans!$E$13)/D8)</f>
        <v>18.2287634217038</v>
      </c>
      <c r="E26" s="10" t="s">
        <v>197</v>
      </c>
    </row>
    <row r="27" customFormat="false" ht="15" hidden="false" customHeight="false" outlineLevel="0" collapsed="false">
      <c r="A27" s="8" t="s">
        <v>198</v>
      </c>
      <c r="B27" s="25" t="n">
        <f aca="false">(Inputs!$B$58*Plans!$B$6+Inputs!$B$59*2)*Inputs!$B$57*Inputs!$B$65</f>
        <v>0.32573016</v>
      </c>
      <c r="C27" s="25" t="n">
        <f aca="false">(Inputs!$B$58*Plans!$B$6+Inputs!$B$59*2)*Inputs!$B$57*Inputs!$B$65</f>
        <v>0.32573016</v>
      </c>
      <c r="D27" s="25" t="n">
        <f aca="false">(Inputs!$B$58*Plans!$B$6+Inputs!$B$59*2)*Inputs!$B$57*Inputs!$B$65</f>
        <v>0.32573016</v>
      </c>
      <c r="E27" s="10"/>
    </row>
    <row r="28" customFormat="false" ht="15" hidden="false" customHeight="false" outlineLevel="0" collapsed="false">
      <c r="A28" s="28" t="s">
        <v>199</v>
      </c>
      <c r="B28" s="31" t="n">
        <f aca="false">IF(B26-B27&lt;=0,"Never",ROUNDUP(Inputs!$B$68/(B26-B27),0))</f>
        <v>46</v>
      </c>
      <c r="C28" s="31" t="n">
        <f aca="false">IF(C26-C27&lt;=0,"Never",ROUNDUP(Inputs!$B$68/(C26-C27),0))</f>
        <v>41</v>
      </c>
      <c r="D28" s="31" t="n">
        <f aca="false">IF(D26-D27&lt;=0,"Never",ROUNDUP(Inputs!$B$68/(D26-D27),0))</f>
        <v>40</v>
      </c>
      <c r="E28" s="10" t="s">
        <v>200</v>
      </c>
    </row>
  </sheetData>
  <conditionalFormatting sqref="B19:D22">
    <cfRule type="cellIs" priority="2" operator="lessThan" aboveAverage="0" equalAverage="0" bottom="0" percent="0" rank="0" text="" dxfId="0">
      <formula>0</formula>
    </cfRule>
  </conditionalFormatting>
  <conditionalFormatting sqref="B23:D23">
    <cfRule type="expression" priority="3" aboveAverage="0" equalAverage="0" bottom="0" percent="0" rank="0" text="" dxfId="0">
      <formula>B23="Not yet"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2026-09-30T03:47:12Z</dcterms:created>
  <dc:creator>openpyxl</dc:creator>
  <dc:description/>
  <dc:language>en-US</dc:language>
  <cp:lastModifiedBy/>
  <dcterms:modified xsi:type="dcterms:W3CDTF">2026-09-30T03:47:12Z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